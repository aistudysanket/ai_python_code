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thon\pprsl\session\ProfSarvendranath\"/>
    </mc:Choice>
  </mc:AlternateContent>
  <xr:revisionPtr revIDLastSave="0" documentId="8_{5F7EB78E-1838-4B47-A3FF-A49D46A3D6C2}" xr6:coauthVersionLast="47" xr6:coauthVersionMax="47" xr10:uidLastSave="{00000000-0000-0000-0000-000000000000}"/>
  <bookViews>
    <workbookView xWindow="-110" yWindow="-110" windowWidth="19420" windowHeight="10300" xr2:uid="{B40B3CAE-350F-452E-B5CF-55533759E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A22" i="1"/>
  <c r="A21" i="1"/>
  <c r="I16" i="1"/>
  <c r="L13" i="1"/>
  <c r="K13" i="1"/>
  <c r="J13" i="1"/>
  <c r="J2" i="1"/>
  <c r="J3" i="1"/>
  <c r="J4" i="1"/>
  <c r="J5" i="1"/>
  <c r="J6" i="1"/>
  <c r="J7" i="1"/>
  <c r="J8" i="1"/>
  <c r="J9" i="1"/>
  <c r="J10" i="1"/>
  <c r="J11" i="1"/>
  <c r="I13" i="1"/>
  <c r="K3" i="1"/>
  <c r="K4" i="1"/>
  <c r="K5" i="1"/>
  <c r="K6" i="1"/>
  <c r="K7" i="1"/>
  <c r="K8" i="1"/>
  <c r="K9" i="1"/>
  <c r="K10" i="1"/>
  <c r="K11" i="1"/>
  <c r="K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13" i="1"/>
  <c r="E3" i="1"/>
  <c r="E4" i="1"/>
  <c r="E5" i="1"/>
  <c r="E6" i="1"/>
  <c r="E7" i="1"/>
  <c r="E8" i="1"/>
  <c r="E9" i="1"/>
  <c r="E10" i="1"/>
  <c r="E11" i="1"/>
  <c r="E2" i="1"/>
  <c r="C13" i="1"/>
  <c r="B13" i="1"/>
  <c r="A13" i="1"/>
</calcChain>
</file>

<file path=xl/sharedStrings.xml><?xml version="1.0" encoding="utf-8"?>
<sst xmlns="http://schemas.openxmlformats.org/spreadsheetml/2006/main" count="11" uniqueCount="11">
  <si>
    <t>Ht</t>
  </si>
  <si>
    <t>Wt</t>
  </si>
  <si>
    <t>Speed</t>
  </si>
  <si>
    <t>Ht-avg</t>
  </si>
  <si>
    <t>Wt-avg</t>
  </si>
  <si>
    <t>Speed-avg</t>
  </si>
  <si>
    <t>E*F</t>
  </si>
  <si>
    <t>E^2</t>
  </si>
  <si>
    <t>F^2</t>
  </si>
  <si>
    <t>J*K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</si>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</sst>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4FAF-B705-4634-A9BA-A941C76268E0}">
  <dimension ref="A1:L24"/>
  <sheetViews>
    <sheetView tabSelected="1" workbookViewId="0">
      <selection activeCell="B25" sqref="B2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>
        <v>176</v>
      </c>
      <c r="B2">
        <v>77</v>
      </c>
      <c r="C2">
        <v>7</v>
      </c>
      <c r="E2">
        <f>A2-$A$13</f>
        <v>-3.5</v>
      </c>
      <c r="F2">
        <f>B2-$B$13</f>
        <v>1.5999999999999943</v>
      </c>
      <c r="G2">
        <f>C2-$C$13</f>
        <v>-0.20000000000000018</v>
      </c>
      <c r="I2">
        <f>E2*F2</f>
        <v>-5.5999999999999801</v>
      </c>
      <c r="J2">
        <f>E2^2</f>
        <v>12.25</v>
      </c>
      <c r="K2">
        <f>F2^2</f>
        <v>2.5599999999999818</v>
      </c>
    </row>
    <row r="3" spans="1:12" x14ac:dyDescent="0.35">
      <c r="A3">
        <v>175</v>
      </c>
      <c r="B3">
        <v>72</v>
      </c>
      <c r="C3">
        <v>8</v>
      </c>
      <c r="E3">
        <f t="shared" ref="E3:E11" si="0">A3-$A$13</f>
        <v>-4.5</v>
      </c>
      <c r="F3">
        <f t="shared" ref="F3:F11" si="1">B3-$B$13</f>
        <v>-3.4000000000000057</v>
      </c>
      <c r="G3">
        <f t="shared" ref="G3:G11" si="2">C3-$C$13</f>
        <v>0.79999999999999982</v>
      </c>
      <c r="I3">
        <f t="shared" ref="I3:I11" si="3">E3*F3</f>
        <v>15.300000000000026</v>
      </c>
      <c r="J3">
        <f t="shared" ref="J3:J11" si="4">E3^2</f>
        <v>20.25</v>
      </c>
      <c r="K3">
        <f t="shared" ref="K3:K11" si="5">F3^2</f>
        <v>11.560000000000038</v>
      </c>
    </row>
    <row r="4" spans="1:12" x14ac:dyDescent="0.35">
      <c r="A4">
        <v>192</v>
      </c>
      <c r="B4">
        <v>81</v>
      </c>
      <c r="C4">
        <v>6</v>
      </c>
      <c r="E4">
        <f t="shared" si="0"/>
        <v>12.5</v>
      </c>
      <c r="F4">
        <f t="shared" si="1"/>
        <v>5.5999999999999943</v>
      </c>
      <c r="G4">
        <f t="shared" si="2"/>
        <v>-1.2000000000000002</v>
      </c>
      <c r="I4">
        <f t="shared" si="3"/>
        <v>69.999999999999929</v>
      </c>
      <c r="J4">
        <f t="shared" si="4"/>
        <v>156.25</v>
      </c>
      <c r="K4">
        <f t="shared" si="5"/>
        <v>31.359999999999935</v>
      </c>
    </row>
    <row r="5" spans="1:12" x14ac:dyDescent="0.35">
      <c r="A5">
        <v>186</v>
      </c>
      <c r="B5">
        <v>80</v>
      </c>
      <c r="C5">
        <v>7</v>
      </c>
      <c r="E5">
        <f t="shared" si="0"/>
        <v>6.5</v>
      </c>
      <c r="F5">
        <f t="shared" si="1"/>
        <v>4.5999999999999943</v>
      </c>
      <c r="G5">
        <f t="shared" si="2"/>
        <v>-0.20000000000000018</v>
      </c>
      <c r="I5">
        <f t="shared" si="3"/>
        <v>29.899999999999963</v>
      </c>
      <c r="J5">
        <f t="shared" si="4"/>
        <v>42.25</v>
      </c>
      <c r="K5">
        <f t="shared" si="5"/>
        <v>21.159999999999947</v>
      </c>
    </row>
    <row r="6" spans="1:12" x14ac:dyDescent="0.35">
      <c r="A6">
        <v>181</v>
      </c>
      <c r="B6">
        <v>76</v>
      </c>
      <c r="C6">
        <v>7</v>
      </c>
      <c r="E6">
        <f t="shared" si="0"/>
        <v>1.5</v>
      </c>
      <c r="F6">
        <f t="shared" si="1"/>
        <v>0.59999999999999432</v>
      </c>
      <c r="G6">
        <f t="shared" si="2"/>
        <v>-0.20000000000000018</v>
      </c>
      <c r="I6">
        <f t="shared" si="3"/>
        <v>0.89999999999999147</v>
      </c>
      <c r="J6">
        <f t="shared" si="4"/>
        <v>2.25</v>
      </c>
      <c r="K6">
        <f t="shared" si="5"/>
        <v>0.35999999999999316</v>
      </c>
    </row>
    <row r="7" spans="1:12" x14ac:dyDescent="0.35">
      <c r="A7">
        <v>165</v>
      </c>
      <c r="B7">
        <v>69</v>
      </c>
      <c r="C7">
        <v>7</v>
      </c>
      <c r="E7">
        <f t="shared" si="0"/>
        <v>-14.5</v>
      </c>
      <c r="F7">
        <f t="shared" si="1"/>
        <v>-6.4000000000000057</v>
      </c>
      <c r="G7">
        <f t="shared" si="2"/>
        <v>-0.20000000000000018</v>
      </c>
      <c r="I7">
        <f t="shared" si="3"/>
        <v>92.800000000000082</v>
      </c>
      <c r="J7">
        <f t="shared" si="4"/>
        <v>210.25</v>
      </c>
      <c r="K7">
        <f t="shared" si="5"/>
        <v>40.960000000000072</v>
      </c>
    </row>
    <row r="8" spans="1:12" x14ac:dyDescent="0.35">
      <c r="A8">
        <v>164</v>
      </c>
      <c r="B8">
        <v>68</v>
      </c>
      <c r="C8">
        <v>7</v>
      </c>
      <c r="E8">
        <f t="shared" si="0"/>
        <v>-15.5</v>
      </c>
      <c r="F8">
        <f t="shared" si="1"/>
        <v>-7.4000000000000057</v>
      </c>
      <c r="G8">
        <f t="shared" si="2"/>
        <v>-0.20000000000000018</v>
      </c>
      <c r="I8">
        <f t="shared" si="3"/>
        <v>114.70000000000009</v>
      </c>
      <c r="J8">
        <f t="shared" si="4"/>
        <v>240.25</v>
      </c>
      <c r="K8">
        <f t="shared" si="5"/>
        <v>54.760000000000083</v>
      </c>
    </row>
    <row r="9" spans="1:12" x14ac:dyDescent="0.35">
      <c r="A9">
        <v>160</v>
      </c>
      <c r="B9">
        <v>62</v>
      </c>
      <c r="C9">
        <v>8</v>
      </c>
      <c r="E9">
        <f t="shared" si="0"/>
        <v>-19.5</v>
      </c>
      <c r="F9">
        <f t="shared" si="1"/>
        <v>-13.400000000000006</v>
      </c>
      <c r="G9">
        <f t="shared" si="2"/>
        <v>0.79999999999999982</v>
      </c>
      <c r="I9">
        <f t="shared" si="3"/>
        <v>261.30000000000013</v>
      </c>
      <c r="J9">
        <f t="shared" si="4"/>
        <v>380.25</v>
      </c>
      <c r="K9">
        <f t="shared" si="5"/>
        <v>179.56000000000014</v>
      </c>
    </row>
    <row r="10" spans="1:12" x14ac:dyDescent="0.35">
      <c r="A10">
        <v>206</v>
      </c>
      <c r="B10">
        <v>89</v>
      </c>
      <c r="C10">
        <v>8</v>
      </c>
      <c r="E10">
        <f t="shared" si="0"/>
        <v>26.5</v>
      </c>
      <c r="F10">
        <f t="shared" si="1"/>
        <v>13.599999999999994</v>
      </c>
      <c r="G10">
        <f t="shared" si="2"/>
        <v>0.79999999999999982</v>
      </c>
      <c r="I10">
        <f t="shared" si="3"/>
        <v>360.39999999999986</v>
      </c>
      <c r="J10">
        <f t="shared" si="4"/>
        <v>702.25</v>
      </c>
      <c r="K10">
        <f t="shared" si="5"/>
        <v>184.95999999999984</v>
      </c>
    </row>
    <row r="11" spans="1:12" x14ac:dyDescent="0.35">
      <c r="A11">
        <v>190</v>
      </c>
      <c r="B11">
        <v>80</v>
      </c>
      <c r="C11">
        <v>7</v>
      </c>
      <c r="E11">
        <f t="shared" si="0"/>
        <v>10.5</v>
      </c>
      <c r="F11">
        <f t="shared" si="1"/>
        <v>4.5999999999999943</v>
      </c>
      <c r="G11">
        <f t="shared" si="2"/>
        <v>-0.20000000000000018</v>
      </c>
      <c r="I11">
        <f t="shared" si="3"/>
        <v>48.29999999999994</v>
      </c>
      <c r="J11">
        <f t="shared" si="4"/>
        <v>110.25</v>
      </c>
      <c r="K11">
        <f t="shared" si="5"/>
        <v>21.159999999999947</v>
      </c>
    </row>
    <row r="13" spans="1:12" x14ac:dyDescent="0.35">
      <c r="A13">
        <f>AVERAGE(A2:A11)</f>
        <v>179.5</v>
      </c>
      <c r="B13">
        <f>AVERAGE(B2:B11)</f>
        <v>75.400000000000006</v>
      </c>
      <c r="C13">
        <f>AVERAGE(C2:C11)</f>
        <v>7.2</v>
      </c>
      <c r="E13">
        <f>SUM(E2:E11)</f>
        <v>0</v>
      </c>
      <c r="I13">
        <f>SUM(I2:I11)</f>
        <v>988</v>
      </c>
      <c r="J13">
        <f>SQRT(SUM(J2:J11))</f>
        <v>43.318587234580953</v>
      </c>
      <c r="K13">
        <f>SQRT(SUM(K2:K11))</f>
        <v>23.417941839538333</v>
      </c>
      <c r="L13">
        <f>J13*K13</f>
        <v>1014.4321564303845</v>
      </c>
    </row>
    <row r="16" spans="1:12" x14ac:dyDescent="0.35">
      <c r="H16" t="s">
        <v>10</v>
      </c>
      <c r="I16">
        <f>I13/L13</f>
        <v>0.97394388943328181</v>
      </c>
    </row>
    <row r="21" spans="1:2" x14ac:dyDescent="0.35">
      <c r="A21">
        <f>SQRT(2)</f>
        <v>1.4142135623730951</v>
      </c>
    </row>
    <row r="22" spans="1:2" x14ac:dyDescent="0.35">
      <c r="A22">
        <f>1/A21</f>
        <v>0.70710678118654746</v>
      </c>
    </row>
    <row r="23" spans="1:2" x14ac:dyDescent="0.35">
      <c r="B23">
        <f>5/A21</f>
        <v>3.5355339059327373</v>
      </c>
    </row>
    <row r="24" spans="1:2" x14ac:dyDescent="0.35">
      <c r="B24">
        <f>-1/A21</f>
        <v>-0.70710678118654746</v>
      </c>
    </row>
  </sheetData>
  <pageMargins left="0.7" right="0.7" top="0.75" bottom="0.75" header="0.3" footer="0.3"/>
  <headerFooter>
    <oddFooter>&amp;C_x000D_&amp;1#&amp;"Calibri"&amp;12&amp;K000000 Nasdaq - Internal Use: Distribution limited to Nasdaq personnel and authorized third parties subject to confidentiality obligations</oddFooter>
  </headerFooter>
</worksheet>
</file>

<file path=docMetadata/LabelInfo.xml><?xml version="1.0" encoding="utf-8"?>
<clbl:labelList xmlns:clbl="http://schemas.microsoft.com/office/2020/mipLabelMetadata">
  <clbl:label id="{fe63fdbc-9223-49ac-a12c-b8ae101f8b2d}" enabled="1" method="Standard" siteId="{d0b75e95-684a-45e3-8d2d-53fa2a6a51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Nasdaq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Kulkarni</dc:creator>
  <cp:lastModifiedBy>Sanket Kulkarni</cp:lastModifiedBy>
  <dcterms:created xsi:type="dcterms:W3CDTF">2025-10-01T16:47:03Z</dcterms:created>
  <dcterms:modified xsi:type="dcterms:W3CDTF">2025-10-01T17:17:30Z</dcterms:modified>
</cp:coreProperties>
</file>